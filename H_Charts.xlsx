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7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tanaw\Music\hotel-revenue-stagnation-analysis\"/>
    </mc:Choice>
  </mc:AlternateContent>
  <xr:revisionPtr revIDLastSave="0" documentId="13_ncr:1_{7CBF76E7-55B2-49B3-8BB2-ED30639F5F61}" xr6:coauthVersionLast="47" xr6:coauthVersionMax="47" xr10:uidLastSave="{00000000-0000-0000-0000-000000000000}"/>
  <bookViews>
    <workbookView xWindow="-120" yWindow="-120" windowWidth="51840" windowHeight="21120" activeTab="6" xr2:uid="{00000000-000D-0000-FFFF-FFFF00000000}"/>
  </bookViews>
  <sheets>
    <sheet name="H1" sheetId="1" r:id="rId1"/>
    <sheet name="H2" sheetId="2" r:id="rId2"/>
    <sheet name="H3" sheetId="3" r:id="rId3"/>
    <sheet name="H4" sheetId="4" r:id="rId4"/>
    <sheet name="H5" sheetId="5" r:id="rId5"/>
    <sheet name="RL_H2" sheetId="6" r:id="rId6"/>
    <sheet name="RL_H4" sheetId="7" r:id="rId7"/>
  </sheets>
  <calcPr calcId="0"/>
</workbook>
</file>

<file path=xl/sharedStrings.xml><?xml version="1.0" encoding="utf-8"?>
<sst xmlns="http://schemas.openxmlformats.org/spreadsheetml/2006/main" count="115" uniqueCount="82">
  <si>
    <t>H1: OTA Dependency &amp; Net Revenue Leakage</t>
  </si>
  <si>
    <t>เปรียบเทียบ ADR vs Net ADR และ Commission Loss ตาม Booking Channel</t>
  </si>
  <si>
    <t>Channel</t>
  </si>
  <si>
    <t>Avg ADR</t>
  </si>
  <si>
    <t>Avg Net ADR</t>
  </si>
  <si>
    <t>Commission Loss</t>
  </si>
  <si>
    <t>CH_BDC (Booking.com)</t>
  </si>
  <si>
    <t>CH_DIR (Direct)</t>
  </si>
  <si>
    <t>CH_EXP (Expedia)</t>
  </si>
  <si>
    <t>CH_GDS</t>
  </si>
  <si>
    <t>CH_WAL (Walk-in)</t>
  </si>
  <si>
    <t>H2: Weekday vs Weekend Pricing Inefficiency</t>
  </si>
  <si>
    <t>ADR เฉลี่ย และ Occupancy Rate (%) ตามวันในสัปดาห์</t>
  </si>
  <si>
    <t>Day</t>
  </si>
  <si>
    <t>Avg ADR (THB)</t>
  </si>
  <si>
    <t>OCC (%)</t>
  </si>
  <si>
    <t>Monday</t>
  </si>
  <si>
    <t>Tuesday</t>
  </si>
  <si>
    <t>Wednesday</t>
  </si>
  <si>
    <t>Thursday</t>
  </si>
  <si>
    <t>Friday</t>
  </si>
  <si>
    <t>Saturday</t>
  </si>
  <si>
    <t>Sunday</t>
  </si>
  <si>
    <t>H3: Rate Code Dilution in Peak Demand</t>
  </si>
  <si>
    <t>ADR ตาม Rate Code x Season และ Revenue Loss ใน High Season</t>
  </si>
  <si>
    <t>Rate Code</t>
  </si>
  <si>
    <t>High Season</t>
  </si>
  <si>
    <t>Low Season</t>
  </si>
  <si>
    <t>Shoulder Season</t>
  </si>
  <si>
    <t>AAA Discount</t>
  </si>
  <si>
    <t>Corporate Flat Rate</t>
  </si>
  <si>
    <t>Non-Refundable</t>
  </si>
  <si>
    <t>Rack Rate</t>
  </si>
  <si>
    <t>Seasonal Promo</t>
  </si>
  <si>
    <t>Revenue Loss in High Season vs Rack Rate</t>
  </si>
  <si>
    <t>Revenue Loss (THB)</t>
  </si>
  <si>
    <t>H4: The Serial Canceller – BLT vs Cancellation Rate</t>
  </si>
  <si>
    <t>อัตราการยกเลิกและ No-Show ตามกลุ่ม Booking Lead Time</t>
  </si>
  <si>
    <t>BLT Group</t>
  </si>
  <si>
    <t>Total</t>
  </si>
  <si>
    <t>Cancelled</t>
  </si>
  <si>
    <t>No-Show</t>
  </si>
  <si>
    <t>Cancel Rate (%)</t>
  </si>
  <si>
    <t>No-Show Rate (%)</t>
  </si>
  <si>
    <t>Last Minute (0-7 days)</t>
  </si>
  <si>
    <t>Short Lead (8-30 days)</t>
  </si>
  <si>
    <t>Long Lead (31-60 days)</t>
  </si>
  <si>
    <t>H5: Short LOS &amp; Orphan Nights</t>
  </si>
  <si>
    <t>% LOS=1 บนวันหยุดสัปดาห์ ตาม Segment | Avg LOS Weekday vs Weekend</t>
  </si>
  <si>
    <t>Segment</t>
  </si>
  <si>
    <t>Total (Weekend)</t>
  </si>
  <si>
    <t>LOS=1 Count</t>
  </si>
  <si>
    <t>% LOS=1</t>
  </si>
  <si>
    <t>Business</t>
  </si>
  <si>
    <t>Transient</t>
  </si>
  <si>
    <t>Leisure</t>
  </si>
  <si>
    <t>Wholesale</t>
  </si>
  <si>
    <t>Group</t>
  </si>
  <si>
    <t>Avg LOS: Weekday vs Weekend by Segment</t>
  </si>
  <si>
    <t>Avg LOS Weekday</t>
  </si>
  <si>
    <t>Avg LOS Weekend</t>
  </si>
  <si>
    <t>H2: ยอดรายได้ที่สูญเสียจากห้องพักว่าง (Opportunity Cost from Empty Rooms)</t>
  </si>
  <si>
    <t>คำนวณจาก: Empty Rooms × ADR/Night (4,170.56 THB)  |  สะสมตลอดปี 2024</t>
  </si>
  <si>
    <t>Rooms Avail.</t>
  </si>
  <si>
    <t>Rooms Sold</t>
  </si>
  <si>
    <t>Empty Rooms</t>
  </si>
  <si>
    <t>ADR/Night</t>
  </si>
  <si>
    <t>Revenue Lost (THB)</t>
  </si>
  <si>
    <t>WEEKDAY TOTAL</t>
  </si>
  <si>
    <t>WEEKEND TOTAL</t>
  </si>
  <si>
    <t>GRAND TOTAL</t>
  </si>
  <si>
    <t>หมายเหตุ: Weekday = จันทร์-ศุกร์  |  Weekend = เสาร์-อาทิตย์  |  ADR/Night จาก h1 Grand Total</t>
  </si>
  <si>
    <t>H4: ยอดรายได้ที่สูญเสียจาก Cancellation &amp; No-Show</t>
  </si>
  <si>
    <t>คำนวณจาก: (Cancelled + No-Show) × Avg Revenue/Booking (11,677.57 THB)</t>
  </si>
  <si>
    <t>Avg Revenue/Booking = ADR/Night (4,170.56) × Avg LOS (2.80 คืน)</t>
  </si>
  <si>
    <t>Lost Bookings</t>
  </si>
  <si>
    <t>Avg Rev/Booking</t>
  </si>
  <si>
    <t>Last Minute
(0-7 days)</t>
  </si>
  <si>
    <t>Short Lead
(8-30 days)</t>
  </si>
  <si>
    <t>Long Lead
(31-60 days)</t>
  </si>
  <si>
    <t>Cancellation Rate &amp; No-Show Rate ตาม BLT Group</t>
  </si>
  <si>
    <t>Combined Rate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</si>
</sst>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Tahoma"/>
      <family val="2"/>
      <scheme val="minor"/>
    </font>
    <font>
      <b/>
      <sz val="14"/>
      <color rgb="FF1F3864"/>
      <name val="Arial"/>
    </font>
    <font>
      <i/>
      <sz val="10"/>
      <color rgb="FF595959"/>
      <name val="Arial"/>
    </font>
    <font>
      <b/>
      <sz val="11"/>
      <color rgb="FFFFFFFF"/>
      <name val="Arial"/>
    </font>
    <font>
      <sz val="10"/>
      <name val="Arial"/>
    </font>
    <font>
      <b/>
      <sz val="12"/>
      <color rgb="FFC00000"/>
      <name val="Arial"/>
    </font>
    <font>
      <b/>
      <sz val="12"/>
      <name val="Arial"/>
    </font>
    <font>
      <b/>
      <sz val="10"/>
      <name val="Arial"/>
    </font>
    <font>
      <i/>
      <sz val="9"/>
      <color rgb="FF80808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  <fill>
      <patternFill patternType="solid">
        <fgColor rgb="FFFCE4D6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4" fontId="4" fillId="0" borderId="1" xfId="0" applyNumberFormat="1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4" fontId="4" fillId="3" borderId="1" xfId="0" applyNumberFormat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3" fontId="4" fillId="3" borderId="1" xfId="0" applyNumberFormat="1" applyFont="1" applyFill="1" applyBorder="1" applyAlignment="1">
      <alignment horizontal="center"/>
    </xf>
    <xf numFmtId="2" fontId="4" fillId="3" borderId="1" xfId="0" applyNumberFormat="1" applyFont="1" applyFill="1" applyBorder="1" applyAlignment="1">
      <alignment horizontal="center"/>
    </xf>
    <xf numFmtId="3" fontId="4" fillId="0" borderId="1" xfId="0" applyNumberFormat="1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3" fontId="4" fillId="4" borderId="1" xfId="0" applyNumberFormat="1" applyFont="1" applyFill="1" applyBorder="1" applyAlignment="1">
      <alignment horizontal="center"/>
    </xf>
    <xf numFmtId="2" fontId="4" fillId="4" borderId="1" xfId="0" applyNumberFormat="1" applyFont="1" applyFill="1" applyBorder="1" applyAlignment="1">
      <alignment horizontal="center"/>
    </xf>
    <xf numFmtId="4" fontId="4" fillId="4" borderId="1" xfId="0" applyNumberFormat="1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3" fontId="7" fillId="5" borderId="1" xfId="0" applyNumberFormat="1" applyFont="1" applyFill="1" applyBorder="1" applyAlignment="1">
      <alignment horizontal="center"/>
    </xf>
    <xf numFmtId="2" fontId="7" fillId="5" borderId="1" xfId="0" applyNumberFormat="1" applyFont="1" applyFill="1" applyBorder="1" applyAlignment="1">
      <alignment horizontal="center"/>
    </xf>
    <xf numFmtId="4" fontId="7" fillId="5" borderId="1" xfId="0" applyNumberFormat="1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3" fontId="7" fillId="4" borderId="1" xfId="0" applyNumberFormat="1" applyFont="1" applyFill="1" applyBorder="1" applyAlignment="1">
      <alignment horizontal="center"/>
    </xf>
    <xf numFmtId="2" fontId="7" fillId="4" borderId="1" xfId="0" applyNumberFormat="1" applyFont="1" applyFill="1" applyBorder="1" applyAlignment="1">
      <alignment horizontal="center"/>
    </xf>
    <xf numFmtId="4" fontId="7" fillId="4" borderId="1" xfId="0" applyNumberFormat="1" applyFont="1" applyFill="1" applyBorder="1" applyAlignment="1">
      <alignment horizontal="center"/>
    </xf>
    <xf numFmtId="3" fontId="3" fillId="2" borderId="1" xfId="0" applyNumberFormat="1" applyFont="1" applyFill="1" applyBorder="1" applyAlignment="1">
      <alignment horizontal="center"/>
    </xf>
    <xf numFmtId="2" fontId="3" fillId="2" borderId="1" xfId="0" applyNumberFormat="1" applyFont="1" applyFill="1" applyBorder="1" applyAlignment="1">
      <alignment horizontal="center"/>
    </xf>
    <xf numFmtId="4" fontId="3" fillId="2" borderId="1" xfId="0" applyNumberFormat="1" applyFont="1" applyFill="1" applyBorder="1" applyAlignment="1">
      <alignment horizontal="center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baseline="0">
                <a:solidFill>
                  <a:sysClr val="windowText" lastClr="000000"/>
                </a:solidFill>
              </a:rPr>
              <a:t>ADR vs Net ADR by Booking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'H1'!$B$4</c:f>
              <c:strCache>
                <c:ptCount val="1"/>
                <c:pt idx="0">
                  <c:v>Avg ADR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'H1'!$A$5:$A$9</c:f>
              <c:strCache>
                <c:ptCount val="5"/>
                <c:pt idx="0">
                  <c:v>CH_BDC (Booking.com)</c:v>
                </c:pt>
                <c:pt idx="1">
                  <c:v>CH_DIR (Direct)</c:v>
                </c:pt>
                <c:pt idx="2">
                  <c:v>CH_EXP (Expedia)</c:v>
                </c:pt>
                <c:pt idx="3">
                  <c:v>CH_GDS</c:v>
                </c:pt>
                <c:pt idx="4">
                  <c:v>CH_WAL (Walk-in)</c:v>
                </c:pt>
              </c:strCache>
            </c:strRef>
          </c:cat>
          <c:val>
            <c:numRef>
              <c:f>'H1'!$B$5:$B$9</c:f>
              <c:numCache>
                <c:formatCode>#,##0.00</c:formatCode>
                <c:ptCount val="5"/>
                <c:pt idx="0">
                  <c:v>4160.6099999999997</c:v>
                </c:pt>
                <c:pt idx="1">
                  <c:v>4165.1000000000004</c:v>
                </c:pt>
                <c:pt idx="2">
                  <c:v>4153.3500000000004</c:v>
                </c:pt>
                <c:pt idx="3">
                  <c:v>4145.41</c:v>
                </c:pt>
                <c:pt idx="4">
                  <c:v>4266.75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FA-41AC-A2D0-AB5EF5383257}"/>
            </c:ext>
          </c:extLst>
        </c:ser>
        <c:ser>
          <c:idx val="1"/>
          <c:order val="1"/>
          <c:tx>
            <c:strRef>
              <c:f>'H1'!$C$4</c:f>
              <c:strCache>
                <c:ptCount val="1"/>
                <c:pt idx="0">
                  <c:v>Avg Net ADR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'H1'!$A$5:$A$9</c:f>
              <c:strCache>
                <c:ptCount val="5"/>
                <c:pt idx="0">
                  <c:v>CH_BDC (Booking.com)</c:v>
                </c:pt>
                <c:pt idx="1">
                  <c:v>CH_DIR (Direct)</c:v>
                </c:pt>
                <c:pt idx="2">
                  <c:v>CH_EXP (Expedia)</c:v>
                </c:pt>
                <c:pt idx="3">
                  <c:v>CH_GDS</c:v>
                </c:pt>
                <c:pt idx="4">
                  <c:v>CH_WAL (Walk-in)</c:v>
                </c:pt>
              </c:strCache>
            </c:strRef>
          </c:cat>
          <c:val>
            <c:numRef>
              <c:f>'H1'!$C$5:$C$9</c:f>
              <c:numCache>
                <c:formatCode>#,##0.00</c:formatCode>
                <c:ptCount val="5"/>
                <c:pt idx="0">
                  <c:v>3536.52</c:v>
                </c:pt>
                <c:pt idx="1">
                  <c:v>4165.1000000000004</c:v>
                </c:pt>
                <c:pt idx="2">
                  <c:v>3405.75</c:v>
                </c:pt>
                <c:pt idx="3">
                  <c:v>3730.87</c:v>
                </c:pt>
                <c:pt idx="4">
                  <c:v>4266.75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FA-41AC-A2D0-AB5EF53832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8681264"/>
        <c:axId val="638681744"/>
      </c:barChart>
      <c:catAx>
        <c:axId val="638681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638681744"/>
        <c:crosses val="autoZero"/>
        <c:auto val="1"/>
        <c:lblAlgn val="ctr"/>
        <c:lblOffset val="100"/>
        <c:noMultiLvlLbl val="0"/>
      </c:catAx>
      <c:valAx>
        <c:axId val="638681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638681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baseline="0">
                <a:solidFill>
                  <a:sysClr val="windowText" lastClr="000000"/>
                </a:solidFill>
              </a:rPr>
              <a:t>Commission Loss by Channel (THB)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'H1'!$D$4</c:f>
              <c:strCache>
                <c:ptCount val="1"/>
                <c:pt idx="0">
                  <c:v>Commission Loss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'H1'!$A$5:$A$9</c:f>
              <c:strCache>
                <c:ptCount val="5"/>
                <c:pt idx="0">
                  <c:v>CH_BDC (Booking.com)</c:v>
                </c:pt>
                <c:pt idx="1">
                  <c:v>CH_DIR (Direct)</c:v>
                </c:pt>
                <c:pt idx="2">
                  <c:v>CH_EXP (Expedia)</c:v>
                </c:pt>
                <c:pt idx="3">
                  <c:v>CH_GDS</c:v>
                </c:pt>
                <c:pt idx="4">
                  <c:v>CH_WAL (Walk-in)</c:v>
                </c:pt>
              </c:strCache>
            </c:strRef>
          </c:cat>
          <c:val>
            <c:numRef>
              <c:f>'H1'!$D$5:$D$9</c:f>
              <c:numCache>
                <c:formatCode>#,##0.00</c:formatCode>
                <c:ptCount val="5"/>
                <c:pt idx="0">
                  <c:v>624.09</c:v>
                </c:pt>
                <c:pt idx="1">
                  <c:v>0</c:v>
                </c:pt>
                <c:pt idx="2">
                  <c:v>747.6</c:v>
                </c:pt>
                <c:pt idx="3">
                  <c:v>414.54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96-42FB-82DA-E3008F80A1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3273120"/>
        <c:axId val="809480368"/>
      </c:barChart>
      <c:catAx>
        <c:axId val="803273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809480368"/>
        <c:crosses val="autoZero"/>
        <c:auto val="1"/>
        <c:lblAlgn val="ctr"/>
        <c:lblOffset val="100"/>
        <c:noMultiLvlLbl val="0"/>
      </c:catAx>
      <c:valAx>
        <c:axId val="809480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803273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baseline="0">
                <a:solidFill>
                  <a:sysClr val="windowText" lastClr="000000"/>
                </a:solidFill>
              </a:rPr>
              <a:t>Avg ADR by Day of Week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'H2'!$B$4</c:f>
              <c:strCache>
                <c:ptCount val="1"/>
                <c:pt idx="0">
                  <c:v>Avg ADR (THB)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'H2'!$A$5:$A$11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'H2'!$B$5:$B$11</c:f>
              <c:numCache>
                <c:formatCode>#,##0.00</c:formatCode>
                <c:ptCount val="7"/>
                <c:pt idx="0">
                  <c:v>11654.06</c:v>
                </c:pt>
                <c:pt idx="1">
                  <c:v>12010.87</c:v>
                </c:pt>
                <c:pt idx="2">
                  <c:v>11263.02</c:v>
                </c:pt>
                <c:pt idx="3">
                  <c:v>11694.57</c:v>
                </c:pt>
                <c:pt idx="4">
                  <c:v>11527.06</c:v>
                </c:pt>
                <c:pt idx="5">
                  <c:v>12083.4</c:v>
                </c:pt>
                <c:pt idx="6">
                  <c:v>12164.62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68-4C2B-9DFD-9466BB233D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3156240"/>
        <c:axId val="813156720"/>
      </c:barChart>
      <c:catAx>
        <c:axId val="813156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813156720"/>
        <c:crosses val="autoZero"/>
        <c:auto val="1"/>
        <c:lblAlgn val="ctr"/>
        <c:lblOffset val="100"/>
        <c:noMultiLvlLbl val="0"/>
      </c:catAx>
      <c:valAx>
        <c:axId val="81315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813156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baseline="0">
                <a:solidFill>
                  <a:sysClr val="windowText" lastClr="000000"/>
                </a:solidFill>
              </a:rPr>
              <a:t>Occupancy Rate (%) by Day of Week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'H2'!$C$4</c:f>
              <c:strCache>
                <c:ptCount val="1"/>
                <c:pt idx="0">
                  <c:v>OCC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'H2'!$A$5:$A$11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'H2'!$C$5:$C$11</c:f>
              <c:numCache>
                <c:formatCode>#,##0.00</c:formatCode>
                <c:ptCount val="7"/>
                <c:pt idx="0">
                  <c:v>29.82</c:v>
                </c:pt>
                <c:pt idx="1">
                  <c:v>29.74</c:v>
                </c:pt>
                <c:pt idx="2">
                  <c:v>31.75</c:v>
                </c:pt>
                <c:pt idx="3">
                  <c:v>28.89</c:v>
                </c:pt>
                <c:pt idx="4">
                  <c:v>30.6</c:v>
                </c:pt>
                <c:pt idx="5">
                  <c:v>30.83</c:v>
                </c:pt>
                <c:pt idx="6">
                  <c:v>31.36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7C-4EE1-B160-A5746D8A44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3140288"/>
        <c:axId val="815214096"/>
      </c:barChart>
      <c:catAx>
        <c:axId val="813140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815214096"/>
        <c:crosses val="autoZero"/>
        <c:auto val="1"/>
        <c:lblAlgn val="ctr"/>
        <c:lblOffset val="100"/>
        <c:noMultiLvlLbl val="0"/>
      </c:catAx>
      <c:valAx>
        <c:axId val="81521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813140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'H3'!$B$13</c:f>
              <c:strCache>
                <c:ptCount val="1"/>
                <c:pt idx="0">
                  <c:v>Revenue Loss (THB)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'H3'!$A$14:$A$18</c:f>
              <c:strCache>
                <c:ptCount val="5"/>
                <c:pt idx="0">
                  <c:v>AAA Discount</c:v>
                </c:pt>
                <c:pt idx="1">
                  <c:v>Corporate Flat Rate</c:v>
                </c:pt>
                <c:pt idx="2">
                  <c:v>Non-Refundable</c:v>
                </c:pt>
                <c:pt idx="3">
                  <c:v>Rack Rate</c:v>
                </c:pt>
                <c:pt idx="4">
                  <c:v>Seasonal Promo</c:v>
                </c:pt>
              </c:strCache>
            </c:strRef>
          </c:cat>
          <c:val>
            <c:numRef>
              <c:f>'H3'!$B$14:$B$18</c:f>
              <c:numCache>
                <c:formatCode>#,##0.00</c:formatCode>
                <c:ptCount val="5"/>
                <c:pt idx="0">
                  <c:v>859691.73</c:v>
                </c:pt>
                <c:pt idx="1">
                  <c:v>220616.4</c:v>
                </c:pt>
                <c:pt idx="2">
                  <c:v>2243650.2599999998</c:v>
                </c:pt>
                <c:pt idx="3">
                  <c:v>0</c:v>
                </c:pt>
                <c:pt idx="4">
                  <c:v>914831.65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68-4DD7-AA09-78F4B9123F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68180944"/>
        <c:axId val="768181904"/>
      </c:barChart>
      <c:catAx>
        <c:axId val="7681809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768181904"/>
        <c:crosses val="autoZero"/>
        <c:auto val="1"/>
        <c:lblAlgn val="ctr"/>
        <c:lblOffset val="100"/>
        <c:noMultiLvlLbl val="0"/>
      </c:catAx>
      <c:valAx>
        <c:axId val="768181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768180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baseline="0">
                <a:solidFill>
                  <a:sysClr val="windowText" lastClr="000000"/>
                </a:solidFill>
              </a:rPr>
              <a:t>Avg ADR by Rate Code × Season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'H3'!$B$4</c:f>
              <c:strCache>
                <c:ptCount val="1"/>
                <c:pt idx="0">
                  <c:v>High Season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'H3'!$A$5:$A$9</c:f>
              <c:strCache>
                <c:ptCount val="5"/>
                <c:pt idx="0">
                  <c:v>AAA Discount</c:v>
                </c:pt>
                <c:pt idx="1">
                  <c:v>Corporate Flat Rate</c:v>
                </c:pt>
                <c:pt idx="2">
                  <c:v>Non-Refundable</c:v>
                </c:pt>
                <c:pt idx="3">
                  <c:v>Rack Rate</c:v>
                </c:pt>
                <c:pt idx="4">
                  <c:v>Seasonal Promo</c:v>
                </c:pt>
              </c:strCache>
            </c:strRef>
          </c:cat>
          <c:val>
            <c:numRef>
              <c:f>'H3'!$B$5:$B$9</c:f>
              <c:numCache>
                <c:formatCode>#,##0.00</c:formatCode>
                <c:ptCount val="5"/>
                <c:pt idx="0">
                  <c:v>4880.0200000000004</c:v>
                </c:pt>
                <c:pt idx="1">
                  <c:v>5309.44</c:v>
                </c:pt>
                <c:pt idx="2">
                  <c:v>4384.3500000000004</c:v>
                </c:pt>
                <c:pt idx="3">
                  <c:v>5409.32</c:v>
                </c:pt>
                <c:pt idx="4">
                  <c:v>4607.4399999999996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B9-44B5-9852-1831FD70A0B2}"/>
            </c:ext>
          </c:extLst>
        </c:ser>
        <c:ser>
          <c:idx val="1"/>
          <c:order val="1"/>
          <c:tx>
            <c:strRef>
              <c:f>'H3'!$C$4</c:f>
              <c:strCache>
                <c:ptCount val="1"/>
                <c:pt idx="0">
                  <c:v>Low Season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'H3'!$A$5:$A$9</c:f>
              <c:strCache>
                <c:ptCount val="5"/>
                <c:pt idx="0">
                  <c:v>AAA Discount</c:v>
                </c:pt>
                <c:pt idx="1">
                  <c:v>Corporate Flat Rate</c:v>
                </c:pt>
                <c:pt idx="2">
                  <c:v>Non-Refundable</c:v>
                </c:pt>
                <c:pt idx="3">
                  <c:v>Rack Rate</c:v>
                </c:pt>
                <c:pt idx="4">
                  <c:v>Seasonal Promo</c:v>
                </c:pt>
              </c:strCache>
            </c:strRef>
          </c:cat>
          <c:val>
            <c:numRef>
              <c:f>'H3'!$C$5:$C$9</c:f>
              <c:numCache>
                <c:formatCode>#,##0.00</c:formatCode>
                <c:ptCount val="5"/>
                <c:pt idx="0">
                  <c:v>3015.31</c:v>
                </c:pt>
                <c:pt idx="1">
                  <c:v>3381.97</c:v>
                </c:pt>
                <c:pt idx="2">
                  <c:v>2757.15</c:v>
                </c:pt>
                <c:pt idx="3">
                  <c:v>3400.16</c:v>
                </c:pt>
                <c:pt idx="4">
                  <c:v>2784.5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B9-44B5-9852-1831FD70A0B2}"/>
            </c:ext>
          </c:extLst>
        </c:ser>
        <c:ser>
          <c:idx val="2"/>
          <c:order val="2"/>
          <c:tx>
            <c:strRef>
              <c:f>'H3'!$D$4</c:f>
              <c:strCache>
                <c:ptCount val="1"/>
                <c:pt idx="0">
                  <c:v>Shoulder Season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'H3'!$A$5:$A$9</c:f>
              <c:strCache>
                <c:ptCount val="5"/>
                <c:pt idx="0">
                  <c:v>AAA Discount</c:v>
                </c:pt>
                <c:pt idx="1">
                  <c:v>Corporate Flat Rate</c:v>
                </c:pt>
                <c:pt idx="2">
                  <c:v>Non-Refundable</c:v>
                </c:pt>
                <c:pt idx="3">
                  <c:v>Rack Rate</c:v>
                </c:pt>
                <c:pt idx="4">
                  <c:v>Seasonal Promo</c:v>
                </c:pt>
              </c:strCache>
            </c:strRef>
          </c:cat>
          <c:val>
            <c:numRef>
              <c:f>'H3'!$D$5:$D$9</c:f>
              <c:numCache>
                <c:formatCode>#,##0.00</c:formatCode>
                <c:ptCount val="5"/>
                <c:pt idx="0">
                  <c:v>3893.43</c:v>
                </c:pt>
                <c:pt idx="1">
                  <c:v>4164.53</c:v>
                </c:pt>
                <c:pt idx="2">
                  <c:v>3187.8</c:v>
                </c:pt>
                <c:pt idx="3">
                  <c:v>4238.99</c:v>
                </c:pt>
                <c:pt idx="4">
                  <c:v>3610.42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B9-44B5-9852-1831FD70A0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3777968"/>
        <c:axId val="733776528"/>
      </c:barChart>
      <c:catAx>
        <c:axId val="733777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733776528"/>
        <c:crosses val="autoZero"/>
        <c:auto val="1"/>
        <c:lblAlgn val="ctr"/>
        <c:lblOffset val="100"/>
        <c:noMultiLvlLbl val="0"/>
      </c:catAx>
      <c:valAx>
        <c:axId val="73377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733777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baseline="0">
                <a:solidFill>
                  <a:sysClr val="windowText" lastClr="000000"/>
                </a:solidFill>
              </a:rPr>
              <a:t>Total / Cancelled / No-Show Count by BLT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'H4'!$A$5</c:f>
              <c:strCache>
                <c:ptCount val="1"/>
                <c:pt idx="0">
                  <c:v>Last Minute (0-7 days)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'H4'!$B$4:$D$4</c:f>
              <c:strCache>
                <c:ptCount val="3"/>
                <c:pt idx="0">
                  <c:v>Total</c:v>
                </c:pt>
                <c:pt idx="1">
                  <c:v>Cancelled</c:v>
                </c:pt>
                <c:pt idx="2">
                  <c:v>No-Show</c:v>
                </c:pt>
              </c:strCache>
            </c:strRef>
          </c:cat>
          <c:val>
            <c:numRef>
              <c:f>'H4'!$B$5:$D$5</c:f>
              <c:numCache>
                <c:formatCode>General</c:formatCode>
                <c:ptCount val="3"/>
                <c:pt idx="0">
                  <c:v>1181</c:v>
                </c:pt>
                <c:pt idx="1">
                  <c:v>51</c:v>
                </c:pt>
                <c:pt idx="2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8D-470C-85CA-EACA5860DA78}"/>
            </c:ext>
          </c:extLst>
        </c:ser>
        <c:ser>
          <c:idx val="1"/>
          <c:order val="1"/>
          <c:tx>
            <c:strRef>
              <c:f>'H4'!$A$6</c:f>
              <c:strCache>
                <c:ptCount val="1"/>
                <c:pt idx="0">
                  <c:v>Short Lead (8-30 days)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'H4'!$B$4:$D$4</c:f>
              <c:strCache>
                <c:ptCount val="3"/>
                <c:pt idx="0">
                  <c:v>Total</c:v>
                </c:pt>
                <c:pt idx="1">
                  <c:v>Cancelled</c:v>
                </c:pt>
                <c:pt idx="2">
                  <c:v>No-Show</c:v>
                </c:pt>
              </c:strCache>
            </c:strRef>
          </c:cat>
          <c:val>
            <c:numRef>
              <c:f>'H4'!$B$6:$D$6</c:f>
              <c:numCache>
                <c:formatCode>General</c:formatCode>
                <c:ptCount val="3"/>
                <c:pt idx="0">
                  <c:v>4537</c:v>
                </c:pt>
                <c:pt idx="1">
                  <c:v>651</c:v>
                </c:pt>
                <c:pt idx="2">
                  <c:v>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8D-470C-85CA-EACA5860DA78}"/>
            </c:ext>
          </c:extLst>
        </c:ser>
        <c:ser>
          <c:idx val="2"/>
          <c:order val="2"/>
          <c:tx>
            <c:strRef>
              <c:f>'H4'!$A$7</c:f>
              <c:strCache>
                <c:ptCount val="1"/>
                <c:pt idx="0">
                  <c:v>Long Lead (31-60 days)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'H4'!$B$4:$D$4</c:f>
              <c:strCache>
                <c:ptCount val="3"/>
                <c:pt idx="0">
                  <c:v>Total</c:v>
                </c:pt>
                <c:pt idx="1">
                  <c:v>Cancelled</c:v>
                </c:pt>
                <c:pt idx="2">
                  <c:v>No-Show</c:v>
                </c:pt>
              </c:strCache>
            </c:strRef>
          </c:cat>
          <c:val>
            <c:numRef>
              <c:f>'H4'!$B$7:$D$7</c:f>
              <c:numCache>
                <c:formatCode>General</c:formatCode>
                <c:ptCount val="3"/>
                <c:pt idx="0">
                  <c:v>4282</c:v>
                </c:pt>
                <c:pt idx="1">
                  <c:v>757</c:v>
                </c:pt>
                <c:pt idx="2">
                  <c:v>206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B8D-470C-85CA-EACA5860DA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1937664"/>
        <c:axId val="761935744"/>
      </c:barChart>
      <c:catAx>
        <c:axId val="761937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761935744"/>
        <c:crosses val="autoZero"/>
        <c:auto val="1"/>
        <c:lblAlgn val="ctr"/>
        <c:lblOffset val="100"/>
        <c:noMultiLvlLbl val="0"/>
      </c:catAx>
      <c:valAx>
        <c:axId val="761935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761937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'H4'!$E$4</c:f>
              <c:strCache>
                <c:ptCount val="1"/>
                <c:pt idx="0">
                  <c:v>Cancel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'H4'!$A$5:$A$7</c:f>
              <c:strCache>
                <c:ptCount val="3"/>
                <c:pt idx="0">
                  <c:v>Last Minute (0-7 days)</c:v>
                </c:pt>
                <c:pt idx="1">
                  <c:v>Short Lead (8-30 days)</c:v>
                </c:pt>
                <c:pt idx="2">
                  <c:v>Long Lead (31-60 days)</c:v>
                </c:pt>
              </c:strCache>
            </c:strRef>
          </c:cat>
          <c:val>
            <c:numRef>
              <c:f>'H4'!$E$5:$E$7</c:f>
              <c:numCache>
                <c:formatCode>#,##0.00</c:formatCode>
                <c:ptCount val="3"/>
                <c:pt idx="0">
                  <c:v>4.32</c:v>
                </c:pt>
                <c:pt idx="1">
                  <c:v>14.35</c:v>
                </c:pt>
                <c:pt idx="2">
                  <c:v>17.68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FF-4DB5-8A9E-FAFDAECB5EA1}"/>
            </c:ext>
          </c:extLst>
        </c:ser>
        <c:ser>
          <c:idx val="1"/>
          <c:order val="1"/>
          <c:tx>
            <c:strRef>
              <c:f>'H4'!$F$4</c:f>
              <c:strCache>
                <c:ptCount val="1"/>
                <c:pt idx="0">
                  <c:v>No-Show Rate (%)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'H4'!$A$5:$A$7</c:f>
              <c:strCache>
                <c:ptCount val="3"/>
                <c:pt idx="0">
                  <c:v>Last Minute (0-7 days)</c:v>
                </c:pt>
                <c:pt idx="1">
                  <c:v>Short Lead (8-30 days)</c:v>
                </c:pt>
                <c:pt idx="2">
                  <c:v>Long Lead (31-60 days)</c:v>
                </c:pt>
              </c:strCache>
            </c:strRef>
          </c:cat>
          <c:val>
            <c:numRef>
              <c:f>'H4'!$F$5:$F$7</c:f>
              <c:numCache>
                <c:formatCode>#,##0.00</c:formatCode>
                <c:ptCount val="3"/>
                <c:pt idx="0">
                  <c:v>5.76</c:v>
                </c:pt>
                <c:pt idx="1">
                  <c:v>5.07</c:v>
                </c:pt>
                <c:pt idx="2">
                  <c:v>4.8099999999999996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FF-4DB5-8A9E-FAFDAECB5E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5442240"/>
        <c:axId val="865443200"/>
      </c:barChart>
      <c:catAx>
        <c:axId val="86544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865443200"/>
        <c:crosses val="autoZero"/>
        <c:auto val="1"/>
        <c:lblAlgn val="ctr"/>
        <c:lblOffset val="100"/>
        <c:noMultiLvlLbl val="0"/>
      </c:catAx>
      <c:valAx>
        <c:axId val="865443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86544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baseline="0">
                <a:solidFill>
                  <a:sysClr val="windowText" lastClr="000000"/>
                </a:solidFill>
              </a:rPr>
              <a:t>Avg LOS: Weekday vs Weekend by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'H5'!$B$13</c:f>
              <c:strCache>
                <c:ptCount val="1"/>
                <c:pt idx="0">
                  <c:v>Avg LOS Weekday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'H5'!$A$14:$A$18</c:f>
              <c:strCache>
                <c:ptCount val="5"/>
                <c:pt idx="0">
                  <c:v>Business</c:v>
                </c:pt>
                <c:pt idx="1">
                  <c:v>Group</c:v>
                </c:pt>
                <c:pt idx="2">
                  <c:v>Leisure</c:v>
                </c:pt>
                <c:pt idx="3">
                  <c:v>Transient</c:v>
                </c:pt>
                <c:pt idx="4">
                  <c:v>Wholesale</c:v>
                </c:pt>
              </c:strCache>
            </c:strRef>
          </c:cat>
          <c:val>
            <c:numRef>
              <c:f>'H5'!$B$14:$B$18</c:f>
              <c:numCache>
                <c:formatCode>#,##0.00</c:formatCode>
                <c:ptCount val="5"/>
                <c:pt idx="0">
                  <c:v>1.5</c:v>
                </c:pt>
                <c:pt idx="1">
                  <c:v>5.03</c:v>
                </c:pt>
                <c:pt idx="2">
                  <c:v>3.48</c:v>
                </c:pt>
                <c:pt idx="3">
                  <c:v>2.0099999999999998</c:v>
                </c:pt>
                <c:pt idx="4">
                  <c:v>2.99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78-4609-B9FC-A95855EAF48C}"/>
            </c:ext>
          </c:extLst>
        </c:ser>
        <c:ser>
          <c:idx val="1"/>
          <c:order val="1"/>
          <c:tx>
            <c:strRef>
              <c:f>'H5'!$C$13</c:f>
              <c:strCache>
                <c:ptCount val="1"/>
                <c:pt idx="0">
                  <c:v>Avg LOS Weekend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'H5'!$A$14:$A$18</c:f>
              <c:strCache>
                <c:ptCount val="5"/>
                <c:pt idx="0">
                  <c:v>Business</c:v>
                </c:pt>
                <c:pt idx="1">
                  <c:v>Group</c:v>
                </c:pt>
                <c:pt idx="2">
                  <c:v>Leisure</c:v>
                </c:pt>
                <c:pt idx="3">
                  <c:v>Transient</c:v>
                </c:pt>
                <c:pt idx="4">
                  <c:v>Wholesale</c:v>
                </c:pt>
              </c:strCache>
            </c:strRef>
          </c:cat>
          <c:val>
            <c:numRef>
              <c:f>'H5'!$C$14:$C$18</c:f>
              <c:numCache>
                <c:formatCode>#,##0.00</c:formatCode>
                <c:ptCount val="5"/>
                <c:pt idx="0">
                  <c:v>1.49</c:v>
                </c:pt>
                <c:pt idx="1">
                  <c:v>5.09</c:v>
                </c:pt>
                <c:pt idx="2">
                  <c:v>3.53</c:v>
                </c:pt>
                <c:pt idx="3">
                  <c:v>2.0499999999999998</c:v>
                </c:pt>
                <c:pt idx="4">
                  <c:v>2.96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78-4609-B9FC-A95855EAF4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7666768"/>
        <c:axId val="877665328"/>
      </c:barChart>
      <c:catAx>
        <c:axId val="877666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877665328"/>
        <c:crosses val="autoZero"/>
        <c:auto val="1"/>
        <c:lblAlgn val="ctr"/>
        <c:lblOffset val="100"/>
        <c:noMultiLvlLbl val="0"/>
      </c:catAx>
      <c:valAx>
        <c:axId val="877665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87766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baseline="0">
                <a:solidFill>
                  <a:sysClr val="windowText" lastClr="000000"/>
                </a:solidFill>
              </a:rPr>
              <a:t>% Bookings with LOS=1 on Weekends by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'H5'!$D$4</c:f>
              <c:strCache>
                <c:ptCount val="1"/>
                <c:pt idx="0">
                  <c:v>% LOS=1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'H5'!$A$5:$A$9</c:f>
              <c:strCache>
                <c:ptCount val="5"/>
                <c:pt idx="0">
                  <c:v>Business</c:v>
                </c:pt>
                <c:pt idx="1">
                  <c:v>Transient</c:v>
                </c:pt>
                <c:pt idx="2">
                  <c:v>Leisure</c:v>
                </c:pt>
                <c:pt idx="3">
                  <c:v>Wholesale</c:v>
                </c:pt>
                <c:pt idx="4">
                  <c:v>Group</c:v>
                </c:pt>
              </c:strCache>
            </c:strRef>
          </c:cat>
          <c:val>
            <c:numRef>
              <c:f>'H5'!$D$5:$D$9</c:f>
              <c:numCache>
                <c:formatCode>#,##0.00</c:formatCode>
                <c:ptCount val="5"/>
                <c:pt idx="0">
                  <c:v>51.04</c:v>
                </c:pt>
                <c:pt idx="1">
                  <c:v>30.87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CB-47B7-A46C-2762FBB7E4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3328080"/>
        <c:axId val="733326640"/>
      </c:barChart>
      <c:catAx>
        <c:axId val="733328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733326640"/>
        <c:crosses val="autoZero"/>
        <c:auto val="1"/>
        <c:lblAlgn val="ctr"/>
        <c:lblOffset val="100"/>
        <c:noMultiLvlLbl val="0"/>
      </c:catAx>
      <c:valAx>
        <c:axId val="73332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733328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RL_H2!$G$4</c:f>
              <c:strCache>
                <c:ptCount val="1"/>
                <c:pt idx="0">
                  <c:v>Revenue Lost (THB)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RL_H2!$A$5:$A$11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RL_H2!$G$5:$G$11</c:f>
              <c:numCache>
                <c:formatCode>#,##0.00</c:formatCode>
                <c:ptCount val="7"/>
                <c:pt idx="0">
                  <c:v>12336516.48</c:v>
                </c:pt>
                <c:pt idx="1">
                  <c:v>12365710.4</c:v>
                </c:pt>
                <c:pt idx="2">
                  <c:v>11752638.08</c:v>
                </c:pt>
                <c:pt idx="3">
                  <c:v>12248934.720000001</c:v>
                </c:pt>
                <c:pt idx="4">
                  <c:v>11956995.52</c:v>
                </c:pt>
                <c:pt idx="5">
                  <c:v>11902778.24</c:v>
                </c:pt>
                <c:pt idx="6">
                  <c:v>11823537.6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BA-4B95-89B1-6899FFFF8C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2740704"/>
        <c:axId val="1122741184"/>
      </c:barChart>
      <c:catAx>
        <c:axId val="1122740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122741184"/>
        <c:crosses val="autoZero"/>
        <c:auto val="1"/>
        <c:lblAlgn val="ctr"/>
        <c:lblOffset val="100"/>
        <c:noMultiLvlLbl val="0"/>
      </c:catAx>
      <c:valAx>
        <c:axId val="1122741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122740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baseline="0">
                <a:solidFill>
                  <a:sysClr val="windowText" lastClr="000000"/>
                </a:solidFill>
              </a:rPr>
              <a:t>Revenue Lost by BLT Group (THB)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RL_H4!$G$5</c:f>
              <c:strCache>
                <c:ptCount val="1"/>
                <c:pt idx="0">
                  <c:v>Revenue Lost (THB)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RL_H4!$A$6:$A$8</c:f>
              <c:strCache>
                <c:ptCount val="3"/>
                <c:pt idx="0">
                  <c:v>Last Minute
(0-7 days)</c:v>
                </c:pt>
                <c:pt idx="1">
                  <c:v>Short Lead
(8-30 days)</c:v>
                </c:pt>
                <c:pt idx="2">
                  <c:v>Long Lead
(31-60 days)</c:v>
                </c:pt>
              </c:strCache>
            </c:strRef>
          </c:cat>
          <c:val>
            <c:numRef>
              <c:f>RL_H4!$G$6:$G$8</c:f>
              <c:numCache>
                <c:formatCode>#,##0.00</c:formatCode>
                <c:ptCount val="3"/>
                <c:pt idx="0">
                  <c:v>1389630.83</c:v>
                </c:pt>
                <c:pt idx="1">
                  <c:v>10287937.17</c:v>
                </c:pt>
                <c:pt idx="2">
                  <c:v>11245439.91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83-4BF3-A758-61D8EA80AC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5881888"/>
        <c:axId val="855879488"/>
      </c:barChart>
      <c:catAx>
        <c:axId val="855881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855879488"/>
        <c:crosses val="autoZero"/>
        <c:auto val="1"/>
        <c:lblAlgn val="ctr"/>
        <c:lblOffset val="100"/>
        <c:noMultiLvlLbl val="0"/>
      </c:catAx>
      <c:valAx>
        <c:axId val="85587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855881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baseline="0">
                <a:solidFill>
                  <a:sysClr val="windowText" lastClr="000000"/>
                </a:solidFill>
              </a:rPr>
              <a:t>Cancel &amp; No-Show Rate by BLT Group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RL_H4!$B$12</c:f>
              <c:strCache>
                <c:ptCount val="1"/>
                <c:pt idx="0">
                  <c:v>Cancel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RL_H4!$A$13:$A$15</c:f>
              <c:strCache>
                <c:ptCount val="3"/>
                <c:pt idx="0">
                  <c:v>Last Minute (0-7 days)</c:v>
                </c:pt>
                <c:pt idx="1">
                  <c:v>Short Lead (8-30 days)</c:v>
                </c:pt>
                <c:pt idx="2">
                  <c:v>Long Lead (31-60 days)</c:v>
                </c:pt>
              </c:strCache>
            </c:strRef>
          </c:cat>
          <c:val>
            <c:numRef>
              <c:f>RL_H4!$B$13:$B$15</c:f>
              <c:numCache>
                <c:formatCode>0.00</c:formatCode>
                <c:ptCount val="3"/>
                <c:pt idx="0">
                  <c:v>4.32</c:v>
                </c:pt>
                <c:pt idx="1">
                  <c:v>14.35</c:v>
                </c:pt>
                <c:pt idx="2">
                  <c:v>17.68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A5-4CB8-8F8A-D03CB0D86621}"/>
            </c:ext>
          </c:extLst>
        </c:ser>
        <c:ser>
          <c:idx val="1"/>
          <c:order val="1"/>
          <c:tx>
            <c:strRef>
              <c:f>RL_H4!$C$12</c:f>
              <c:strCache>
                <c:ptCount val="1"/>
                <c:pt idx="0">
                  <c:v>No-Show Rate (%)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RL_H4!$A$13:$A$15</c:f>
              <c:strCache>
                <c:ptCount val="3"/>
                <c:pt idx="0">
                  <c:v>Last Minute (0-7 days)</c:v>
                </c:pt>
                <c:pt idx="1">
                  <c:v>Short Lead (8-30 days)</c:v>
                </c:pt>
                <c:pt idx="2">
                  <c:v>Long Lead (31-60 days)</c:v>
                </c:pt>
              </c:strCache>
            </c:strRef>
          </c:cat>
          <c:val>
            <c:numRef>
              <c:f>RL_H4!$C$13:$C$15</c:f>
              <c:numCache>
                <c:formatCode>0.00</c:formatCode>
                <c:ptCount val="3"/>
                <c:pt idx="0">
                  <c:v>5.76</c:v>
                </c:pt>
                <c:pt idx="1">
                  <c:v>5.07</c:v>
                </c:pt>
                <c:pt idx="2">
                  <c:v>4.8099999999999996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A5-4CB8-8F8A-D03CB0D866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7312832"/>
        <c:axId val="1117308992"/>
      </c:barChart>
      <c:catAx>
        <c:axId val="1117312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117308992"/>
        <c:crosses val="autoZero"/>
        <c:auto val="1"/>
        <c:lblAlgn val="ctr"/>
        <c:lblOffset val="100"/>
        <c:noMultiLvlLbl val="0"/>
      </c:catAx>
      <c:valAx>
        <c:axId val="1117308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117312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509586</xdr:colOff>
      <xdr:row>2</xdr:row>
      <xdr:rowOff>9524</xdr:rowOff>
    </xdr:from>
    <xdr:to>
      <xdr:col>17</xdr:col>
      <xdr:colOff>38099</xdr:colOff>
      <xdr:row>24</xdr:row>
      <xdr:rowOff>85724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C198561-2B10-61DA-1C2E-19BFCD7503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314324</xdr:colOff>
      <xdr:row>2</xdr:row>
      <xdr:rowOff>0</xdr:rowOff>
    </xdr:from>
    <xdr:to>
      <xdr:col>27</xdr:col>
      <xdr:colOff>590549</xdr:colOff>
      <xdr:row>24</xdr:row>
      <xdr:rowOff>85725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A1344ED-7A9D-3C0A-DE6A-F6A9E982A0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123824</xdr:colOff>
      <xdr:row>2</xdr:row>
      <xdr:rowOff>85725</xdr:rowOff>
    </xdr:from>
    <xdr:to>
      <xdr:col>23</xdr:col>
      <xdr:colOff>38099</xdr:colOff>
      <xdr:row>23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A25F30B-A7E7-0DB3-F294-9D49168C51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342900</xdr:colOff>
      <xdr:row>2</xdr:row>
      <xdr:rowOff>47624</xdr:rowOff>
    </xdr:from>
    <xdr:to>
      <xdr:col>13</xdr:col>
      <xdr:colOff>590550</xdr:colOff>
      <xdr:row>23</xdr:row>
      <xdr:rowOff>152399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CB1F5B8-B168-61F2-BFFC-18240A51EA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361949</xdr:colOff>
      <xdr:row>3</xdr:row>
      <xdr:rowOff>66674</xdr:rowOff>
    </xdr:from>
    <xdr:to>
      <xdr:col>30</xdr:col>
      <xdr:colOff>9524</xdr:colOff>
      <xdr:row>28</xdr:row>
      <xdr:rowOff>85724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4BB2296-B610-B8C9-8D60-FB672FDD02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57149</xdr:colOff>
      <xdr:row>3</xdr:row>
      <xdr:rowOff>123825</xdr:rowOff>
    </xdr:from>
    <xdr:to>
      <xdr:col>18</xdr:col>
      <xdr:colOff>66674</xdr:colOff>
      <xdr:row>28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44EDD64-DF6B-7AA9-F503-8C0877F724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571500</xdr:colOff>
      <xdr:row>3</xdr:row>
      <xdr:rowOff>47624</xdr:rowOff>
    </xdr:from>
    <xdr:to>
      <xdr:col>29</xdr:col>
      <xdr:colOff>647700</xdr:colOff>
      <xdr:row>29</xdr:row>
      <xdr:rowOff>28574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72BFF78-E184-7494-9B75-5A23E2F36A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19049</xdr:colOff>
      <xdr:row>3</xdr:row>
      <xdr:rowOff>9525</xdr:rowOff>
    </xdr:from>
    <xdr:to>
      <xdr:col>16</xdr:col>
      <xdr:colOff>390524</xdr:colOff>
      <xdr:row>29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11FAB32-3F4A-12D2-D5E0-60C4938C1C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504824</xdr:colOff>
      <xdr:row>20</xdr:row>
      <xdr:rowOff>66674</xdr:rowOff>
    </xdr:from>
    <xdr:to>
      <xdr:col>30</xdr:col>
      <xdr:colOff>647699</xdr:colOff>
      <xdr:row>45</xdr:row>
      <xdr:rowOff>123824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0C6F5B0-58AE-9FD2-2030-746AB1FBC2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619125</xdr:colOff>
      <xdr:row>1</xdr:row>
      <xdr:rowOff>152400</xdr:rowOff>
    </xdr:from>
    <xdr:to>
      <xdr:col>23</xdr:col>
      <xdr:colOff>390525</xdr:colOff>
      <xdr:row>16</xdr:row>
      <xdr:rowOff>142875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9BBA4AF-30E3-A112-9FB6-27940455D1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333375</xdr:colOff>
      <xdr:row>5</xdr:row>
      <xdr:rowOff>85724</xdr:rowOff>
    </xdr:from>
    <xdr:to>
      <xdr:col>23</xdr:col>
      <xdr:colOff>638175</xdr:colOff>
      <xdr:row>31</xdr:row>
      <xdr:rowOff>47624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30DF12C-7494-36E7-F89E-B3644435FA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666750</xdr:colOff>
      <xdr:row>2</xdr:row>
      <xdr:rowOff>95250</xdr:rowOff>
    </xdr:from>
    <xdr:to>
      <xdr:col>32</xdr:col>
      <xdr:colOff>666750</xdr:colOff>
      <xdr:row>33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8151B70-CF59-C1A7-E3CC-8799CBD642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200025</xdr:colOff>
      <xdr:row>18</xdr:row>
      <xdr:rowOff>76200</xdr:rowOff>
    </xdr:from>
    <xdr:to>
      <xdr:col>20</xdr:col>
      <xdr:colOff>552450</xdr:colOff>
      <xdr:row>51</xdr:row>
      <xdr:rowOff>104775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76E7E96-FEEA-75CF-51A8-C5CAFBCECC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workbookViewId="0">
      <selection activeCell="T42" sqref="T42"/>
    </sheetView>
  </sheetViews>
  <sheetFormatPr defaultRowHeight="14.25" x14ac:dyDescent="0.2"/>
  <cols>
    <col min="1" max="1" width="22" customWidth="1"/>
    <col min="2" max="4" width="18" customWidth="1"/>
  </cols>
  <sheetData>
    <row r="1" spans="1:4" ht="18" x14ac:dyDescent="0.25">
      <c r="A1" s="1" t="s">
        <v>0</v>
      </c>
    </row>
    <row r="2" spans="1:4" x14ac:dyDescent="0.2">
      <c r="A2" s="2" t="s">
        <v>1</v>
      </c>
    </row>
    <row r="4" spans="1:4" ht="15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">
      <c r="A5" s="4" t="s">
        <v>6</v>
      </c>
      <c r="B5" s="5">
        <v>4160.6099999999997</v>
      </c>
      <c r="C5" s="5">
        <v>3536.52</v>
      </c>
      <c r="D5" s="5">
        <v>624.09</v>
      </c>
    </row>
    <row r="6" spans="1:4" x14ac:dyDescent="0.2">
      <c r="A6" s="6" t="s">
        <v>7</v>
      </c>
      <c r="B6" s="7">
        <v>4165.1000000000004</v>
      </c>
      <c r="C6" s="7">
        <v>4165.1000000000004</v>
      </c>
      <c r="D6" s="7">
        <v>0</v>
      </c>
    </row>
    <row r="7" spans="1:4" x14ac:dyDescent="0.2">
      <c r="A7" s="4" t="s">
        <v>8</v>
      </c>
      <c r="B7" s="5">
        <v>4153.3500000000004</v>
      </c>
      <c r="C7" s="5">
        <v>3405.75</v>
      </c>
      <c r="D7" s="5">
        <v>747.6</v>
      </c>
    </row>
    <row r="8" spans="1:4" x14ac:dyDescent="0.2">
      <c r="A8" s="6" t="s">
        <v>9</v>
      </c>
      <c r="B8" s="7">
        <v>4145.41</v>
      </c>
      <c r="C8" s="7">
        <v>3730.87</v>
      </c>
      <c r="D8" s="7">
        <v>414.54</v>
      </c>
    </row>
    <row r="9" spans="1:4" x14ac:dyDescent="0.2">
      <c r="A9" s="4" t="s">
        <v>10</v>
      </c>
      <c r="B9" s="5">
        <v>4266.75</v>
      </c>
      <c r="C9" s="5">
        <v>4266.75</v>
      </c>
      <c r="D9" s="5">
        <v>0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>
      <selection activeCell="G45" sqref="G45"/>
    </sheetView>
  </sheetViews>
  <sheetFormatPr defaultRowHeight="14.25" x14ac:dyDescent="0.2"/>
  <cols>
    <col min="1" max="1" width="14" customWidth="1"/>
    <col min="2" max="3" width="18" customWidth="1"/>
  </cols>
  <sheetData>
    <row r="1" spans="1:3" ht="18" x14ac:dyDescent="0.25">
      <c r="A1" s="1" t="s">
        <v>11</v>
      </c>
    </row>
    <row r="2" spans="1:3" x14ac:dyDescent="0.2">
      <c r="A2" s="2" t="s">
        <v>12</v>
      </c>
    </row>
    <row r="4" spans="1:3" ht="15" x14ac:dyDescent="0.25">
      <c r="A4" s="3" t="s">
        <v>13</v>
      </c>
      <c r="B4" s="3" t="s">
        <v>14</v>
      </c>
      <c r="C4" s="3" t="s">
        <v>15</v>
      </c>
    </row>
    <row r="5" spans="1:3" x14ac:dyDescent="0.2">
      <c r="A5" s="4" t="s">
        <v>16</v>
      </c>
      <c r="B5" s="5">
        <v>11654.06</v>
      </c>
      <c r="C5" s="5">
        <v>29.82</v>
      </c>
    </row>
    <row r="6" spans="1:3" x14ac:dyDescent="0.2">
      <c r="A6" s="6" t="s">
        <v>17</v>
      </c>
      <c r="B6" s="7">
        <v>12010.87</v>
      </c>
      <c r="C6" s="7">
        <v>29.74</v>
      </c>
    </row>
    <row r="7" spans="1:3" x14ac:dyDescent="0.2">
      <c r="A7" s="4" t="s">
        <v>18</v>
      </c>
      <c r="B7" s="5">
        <v>11263.02</v>
      </c>
      <c r="C7" s="5">
        <v>31.75</v>
      </c>
    </row>
    <row r="8" spans="1:3" x14ac:dyDescent="0.2">
      <c r="A8" s="6" t="s">
        <v>19</v>
      </c>
      <c r="B8" s="7">
        <v>11694.57</v>
      </c>
      <c r="C8" s="7">
        <v>28.89</v>
      </c>
    </row>
    <row r="9" spans="1:3" x14ac:dyDescent="0.2">
      <c r="A9" s="4" t="s">
        <v>20</v>
      </c>
      <c r="B9" s="5">
        <v>11527.06</v>
      </c>
      <c r="C9" s="5">
        <v>30.6</v>
      </c>
    </row>
    <row r="10" spans="1:3" x14ac:dyDescent="0.2">
      <c r="A10" s="6" t="s">
        <v>21</v>
      </c>
      <c r="B10" s="7">
        <v>12083.4</v>
      </c>
      <c r="C10" s="7">
        <v>30.83</v>
      </c>
    </row>
    <row r="11" spans="1:3" x14ac:dyDescent="0.2">
      <c r="A11" s="4" t="s">
        <v>22</v>
      </c>
      <c r="B11" s="5">
        <v>12164.62</v>
      </c>
      <c r="C11" s="5">
        <v>31.36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8"/>
  <sheetViews>
    <sheetView workbookViewId="0">
      <selection activeCell="R36" sqref="R36"/>
    </sheetView>
  </sheetViews>
  <sheetFormatPr defaultRowHeight="14.25" x14ac:dyDescent="0.2"/>
  <cols>
    <col min="1" max="1" width="22" customWidth="1"/>
    <col min="2" max="4" width="18" customWidth="1"/>
  </cols>
  <sheetData>
    <row r="1" spans="1:4" ht="18" x14ac:dyDescent="0.25">
      <c r="A1" s="1" t="s">
        <v>23</v>
      </c>
    </row>
    <row r="2" spans="1:4" x14ac:dyDescent="0.2">
      <c r="A2" s="2" t="s">
        <v>24</v>
      </c>
    </row>
    <row r="4" spans="1:4" ht="15" x14ac:dyDescent="0.25">
      <c r="A4" s="3" t="s">
        <v>25</v>
      </c>
      <c r="B4" s="3" t="s">
        <v>26</v>
      </c>
      <c r="C4" s="3" t="s">
        <v>27</v>
      </c>
      <c r="D4" s="3" t="s">
        <v>28</v>
      </c>
    </row>
    <row r="5" spans="1:4" x14ac:dyDescent="0.2">
      <c r="A5" s="4" t="s">
        <v>29</v>
      </c>
      <c r="B5" s="5">
        <v>4880.0200000000004</v>
      </c>
      <c r="C5" s="5">
        <v>3015.31</v>
      </c>
      <c r="D5" s="5">
        <v>3893.43</v>
      </c>
    </row>
    <row r="6" spans="1:4" x14ac:dyDescent="0.2">
      <c r="A6" s="6" t="s">
        <v>30</v>
      </c>
      <c r="B6" s="7">
        <v>5309.44</v>
      </c>
      <c r="C6" s="7">
        <v>3381.97</v>
      </c>
      <c r="D6" s="7">
        <v>4164.53</v>
      </c>
    </row>
    <row r="7" spans="1:4" x14ac:dyDescent="0.2">
      <c r="A7" s="4" t="s">
        <v>31</v>
      </c>
      <c r="B7" s="5">
        <v>4384.3500000000004</v>
      </c>
      <c r="C7" s="5">
        <v>2757.15</v>
      </c>
      <c r="D7" s="5">
        <v>3187.8</v>
      </c>
    </row>
    <row r="8" spans="1:4" x14ac:dyDescent="0.2">
      <c r="A8" s="6" t="s">
        <v>32</v>
      </c>
      <c r="B8" s="7">
        <v>5409.32</v>
      </c>
      <c r="C8" s="7">
        <v>3400.16</v>
      </c>
      <c r="D8" s="7">
        <v>4238.99</v>
      </c>
    </row>
    <row r="9" spans="1:4" x14ac:dyDescent="0.2">
      <c r="A9" s="4" t="s">
        <v>33</v>
      </c>
      <c r="B9" s="5">
        <v>4607.4399999999996</v>
      </c>
      <c r="C9" s="5">
        <v>2784.5</v>
      </c>
      <c r="D9" s="5">
        <v>3610.42</v>
      </c>
    </row>
    <row r="12" spans="1:4" ht="15.75" x14ac:dyDescent="0.25">
      <c r="A12" s="8" t="s">
        <v>34</v>
      </c>
    </row>
    <row r="13" spans="1:4" ht="15" x14ac:dyDescent="0.25">
      <c r="A13" s="3" t="s">
        <v>25</v>
      </c>
      <c r="B13" s="3" t="s">
        <v>35</v>
      </c>
    </row>
    <row r="14" spans="1:4" x14ac:dyDescent="0.2">
      <c r="A14" s="4" t="s">
        <v>29</v>
      </c>
      <c r="B14" s="5">
        <v>859691.73</v>
      </c>
    </row>
    <row r="15" spans="1:4" x14ac:dyDescent="0.2">
      <c r="A15" s="6" t="s">
        <v>30</v>
      </c>
      <c r="B15" s="7">
        <v>220616.4</v>
      </c>
    </row>
    <row r="16" spans="1:4" x14ac:dyDescent="0.2">
      <c r="A16" s="4" t="s">
        <v>31</v>
      </c>
      <c r="B16" s="5">
        <v>2243650.2599999998</v>
      </c>
    </row>
    <row r="17" spans="1:2" x14ac:dyDescent="0.2">
      <c r="A17" s="6" t="s">
        <v>32</v>
      </c>
      <c r="B17" s="7">
        <v>0</v>
      </c>
    </row>
    <row r="18" spans="1:2" x14ac:dyDescent="0.2">
      <c r="A18" s="4" t="s">
        <v>33</v>
      </c>
      <c r="B18" s="5">
        <v>914831.65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workbookViewId="0">
      <selection activeCell="W40" sqref="W40"/>
    </sheetView>
  </sheetViews>
  <sheetFormatPr defaultRowHeight="14.25" x14ac:dyDescent="0.2"/>
  <cols>
    <col min="1" max="1" width="24" customWidth="1"/>
    <col min="2" max="6" width="16" customWidth="1"/>
  </cols>
  <sheetData>
    <row r="1" spans="1:6" ht="18" x14ac:dyDescent="0.25">
      <c r="A1" s="1" t="s">
        <v>36</v>
      </c>
    </row>
    <row r="2" spans="1:6" x14ac:dyDescent="0.2">
      <c r="A2" s="2" t="s">
        <v>37</v>
      </c>
    </row>
    <row r="4" spans="1:6" ht="15" x14ac:dyDescent="0.25">
      <c r="A4" s="3" t="s">
        <v>38</v>
      </c>
      <c r="B4" s="3" t="s">
        <v>39</v>
      </c>
      <c r="C4" s="3" t="s">
        <v>40</v>
      </c>
      <c r="D4" s="3" t="s">
        <v>41</v>
      </c>
      <c r="E4" s="3" t="s">
        <v>42</v>
      </c>
      <c r="F4" s="3" t="s">
        <v>43</v>
      </c>
    </row>
    <row r="5" spans="1:6" x14ac:dyDescent="0.2">
      <c r="A5" s="4" t="s">
        <v>44</v>
      </c>
      <c r="B5" s="4">
        <v>1181</v>
      </c>
      <c r="C5" s="4">
        <v>51</v>
      </c>
      <c r="D5" s="4">
        <v>68</v>
      </c>
      <c r="E5" s="5">
        <v>4.32</v>
      </c>
      <c r="F5" s="5">
        <v>5.76</v>
      </c>
    </row>
    <row r="6" spans="1:6" x14ac:dyDescent="0.2">
      <c r="A6" s="6" t="s">
        <v>45</v>
      </c>
      <c r="B6" s="6">
        <v>4537</v>
      </c>
      <c r="C6" s="6">
        <v>651</v>
      </c>
      <c r="D6" s="6">
        <v>230</v>
      </c>
      <c r="E6" s="7">
        <v>14.35</v>
      </c>
      <c r="F6" s="7">
        <v>5.07</v>
      </c>
    </row>
    <row r="7" spans="1:6" x14ac:dyDescent="0.2">
      <c r="A7" s="4" t="s">
        <v>46</v>
      </c>
      <c r="B7" s="4">
        <v>4282</v>
      </c>
      <c r="C7" s="4">
        <v>757</v>
      </c>
      <c r="D7" s="4">
        <v>206</v>
      </c>
      <c r="E7" s="5">
        <v>17.68</v>
      </c>
      <c r="F7" s="5">
        <v>4.8099999999999996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8"/>
  <sheetViews>
    <sheetView workbookViewId="0">
      <selection activeCell="AA18" sqref="AA18"/>
    </sheetView>
  </sheetViews>
  <sheetFormatPr defaultRowHeight="14.25" x14ac:dyDescent="0.2"/>
  <cols>
    <col min="1" max="1" width="14" customWidth="1"/>
    <col min="2" max="4" width="18" customWidth="1"/>
  </cols>
  <sheetData>
    <row r="1" spans="1:4" ht="18" x14ac:dyDescent="0.25">
      <c r="A1" s="1" t="s">
        <v>47</v>
      </c>
    </row>
    <row r="2" spans="1:4" x14ac:dyDescent="0.2">
      <c r="A2" s="2" t="s">
        <v>48</v>
      </c>
    </row>
    <row r="4" spans="1:4" ht="15" x14ac:dyDescent="0.25">
      <c r="A4" s="3" t="s">
        <v>49</v>
      </c>
      <c r="B4" s="3" t="s">
        <v>50</v>
      </c>
      <c r="C4" s="3" t="s">
        <v>51</v>
      </c>
      <c r="D4" s="3" t="s">
        <v>52</v>
      </c>
    </row>
    <row r="5" spans="1:4" x14ac:dyDescent="0.2">
      <c r="A5" s="4" t="s">
        <v>53</v>
      </c>
      <c r="B5" s="4">
        <v>578</v>
      </c>
      <c r="C5" s="4">
        <v>295</v>
      </c>
      <c r="D5" s="5">
        <v>51.04</v>
      </c>
    </row>
    <row r="6" spans="1:4" x14ac:dyDescent="0.2">
      <c r="A6" s="6" t="s">
        <v>54</v>
      </c>
      <c r="B6" s="6">
        <v>447</v>
      </c>
      <c r="C6" s="6">
        <v>138</v>
      </c>
      <c r="D6" s="7">
        <v>30.87</v>
      </c>
    </row>
    <row r="7" spans="1:4" x14ac:dyDescent="0.2">
      <c r="A7" s="4" t="s">
        <v>55</v>
      </c>
      <c r="B7" s="4">
        <v>921</v>
      </c>
      <c r="C7" s="4">
        <v>0</v>
      </c>
      <c r="D7" s="5">
        <v>0</v>
      </c>
    </row>
    <row r="8" spans="1:4" x14ac:dyDescent="0.2">
      <c r="A8" s="6" t="s">
        <v>56</v>
      </c>
      <c r="B8" s="6">
        <v>120</v>
      </c>
      <c r="C8" s="6">
        <v>0</v>
      </c>
      <c r="D8" s="7">
        <v>0</v>
      </c>
    </row>
    <row r="9" spans="1:4" x14ac:dyDescent="0.2">
      <c r="A9" s="4" t="s">
        <v>57</v>
      </c>
      <c r="B9" s="4">
        <v>230</v>
      </c>
      <c r="C9" s="4">
        <v>0</v>
      </c>
      <c r="D9" s="5">
        <v>0</v>
      </c>
    </row>
    <row r="12" spans="1:4" ht="15.75" x14ac:dyDescent="0.25">
      <c r="A12" s="9" t="s">
        <v>58</v>
      </c>
    </row>
    <row r="13" spans="1:4" ht="15" x14ac:dyDescent="0.25">
      <c r="A13" s="3" t="s">
        <v>49</v>
      </c>
      <c r="B13" s="3" t="s">
        <v>59</v>
      </c>
      <c r="C13" s="3" t="s">
        <v>60</v>
      </c>
    </row>
    <row r="14" spans="1:4" x14ac:dyDescent="0.2">
      <c r="A14" s="4" t="s">
        <v>53</v>
      </c>
      <c r="B14" s="5">
        <v>1.5</v>
      </c>
      <c r="C14" s="5">
        <v>1.49</v>
      </c>
    </row>
    <row r="15" spans="1:4" x14ac:dyDescent="0.2">
      <c r="A15" s="6" t="s">
        <v>57</v>
      </c>
      <c r="B15" s="7">
        <v>5.03</v>
      </c>
      <c r="C15" s="7">
        <v>5.09</v>
      </c>
    </row>
    <row r="16" spans="1:4" x14ac:dyDescent="0.2">
      <c r="A16" s="4" t="s">
        <v>55</v>
      </c>
      <c r="B16" s="5">
        <v>3.48</v>
      </c>
      <c r="C16" s="5">
        <v>3.53</v>
      </c>
    </row>
    <row r="17" spans="1:3" x14ac:dyDescent="0.2">
      <c r="A17" s="6" t="s">
        <v>54</v>
      </c>
      <c r="B17" s="7">
        <v>2.0099999999999998</v>
      </c>
      <c r="C17" s="7">
        <v>2.0499999999999998</v>
      </c>
    </row>
    <row r="18" spans="1:3" x14ac:dyDescent="0.2">
      <c r="A18" s="4" t="s">
        <v>56</v>
      </c>
      <c r="B18" s="5">
        <v>2.99</v>
      </c>
      <c r="C18" s="5">
        <v>2.96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6"/>
  <sheetViews>
    <sheetView workbookViewId="0">
      <selection activeCell="AD14" sqref="AD14"/>
    </sheetView>
  </sheetViews>
  <sheetFormatPr defaultRowHeight="14.25" x14ac:dyDescent="0.2"/>
  <cols>
    <col min="1" max="1" width="15" customWidth="1"/>
    <col min="2" max="7" width="20" customWidth="1"/>
  </cols>
  <sheetData>
    <row r="1" spans="1:7" ht="18" x14ac:dyDescent="0.25">
      <c r="A1" s="1" t="s">
        <v>61</v>
      </c>
    </row>
    <row r="2" spans="1:7" x14ac:dyDescent="0.2">
      <c r="A2" s="2" t="s">
        <v>62</v>
      </c>
    </row>
    <row r="4" spans="1:7" ht="15" x14ac:dyDescent="0.25">
      <c r="A4" s="3" t="s">
        <v>13</v>
      </c>
      <c r="B4" s="3" t="s">
        <v>63</v>
      </c>
      <c r="C4" s="3" t="s">
        <v>64</v>
      </c>
      <c r="D4" s="3" t="s">
        <v>65</v>
      </c>
      <c r="E4" s="3" t="s">
        <v>15</v>
      </c>
      <c r="F4" s="3" t="s">
        <v>66</v>
      </c>
      <c r="G4" s="3" t="s">
        <v>67</v>
      </c>
    </row>
    <row r="5" spans="1:7" x14ac:dyDescent="0.2">
      <c r="A5" s="6" t="s">
        <v>16</v>
      </c>
      <c r="B5" s="10">
        <v>4215</v>
      </c>
      <c r="C5" s="10">
        <v>1257</v>
      </c>
      <c r="D5" s="10">
        <v>2958</v>
      </c>
      <c r="E5" s="11">
        <v>29.82</v>
      </c>
      <c r="F5" s="7">
        <v>4170.5600000000004</v>
      </c>
      <c r="G5" s="7">
        <v>12336516.48</v>
      </c>
    </row>
    <row r="6" spans="1:7" x14ac:dyDescent="0.2">
      <c r="A6" s="4" t="s">
        <v>17</v>
      </c>
      <c r="B6" s="12">
        <v>4220</v>
      </c>
      <c r="C6" s="12">
        <v>1255</v>
      </c>
      <c r="D6" s="12">
        <v>2965</v>
      </c>
      <c r="E6" s="13">
        <v>29.74</v>
      </c>
      <c r="F6" s="5">
        <v>4170.5600000000004</v>
      </c>
      <c r="G6" s="5">
        <v>12365710.4</v>
      </c>
    </row>
    <row r="7" spans="1:7" x14ac:dyDescent="0.2">
      <c r="A7" s="6" t="s">
        <v>18</v>
      </c>
      <c r="B7" s="10">
        <v>4129</v>
      </c>
      <c r="C7" s="10">
        <v>1311</v>
      </c>
      <c r="D7" s="10">
        <v>2818</v>
      </c>
      <c r="E7" s="11">
        <v>31.75</v>
      </c>
      <c r="F7" s="7">
        <v>4170.5600000000004</v>
      </c>
      <c r="G7" s="7">
        <v>11752638.08</v>
      </c>
    </row>
    <row r="8" spans="1:7" x14ac:dyDescent="0.2">
      <c r="A8" s="4" t="s">
        <v>19</v>
      </c>
      <c r="B8" s="12">
        <v>4130</v>
      </c>
      <c r="C8" s="12">
        <v>1193</v>
      </c>
      <c r="D8" s="12">
        <v>2937</v>
      </c>
      <c r="E8" s="13">
        <v>28.89</v>
      </c>
      <c r="F8" s="5">
        <v>4170.5600000000004</v>
      </c>
      <c r="G8" s="5">
        <v>12248934.720000001</v>
      </c>
    </row>
    <row r="9" spans="1:7" x14ac:dyDescent="0.2">
      <c r="A9" s="6" t="s">
        <v>20</v>
      </c>
      <c r="B9" s="10">
        <v>4131</v>
      </c>
      <c r="C9" s="10">
        <v>1264</v>
      </c>
      <c r="D9" s="10">
        <v>2867</v>
      </c>
      <c r="E9" s="11">
        <v>30.6</v>
      </c>
      <c r="F9" s="7">
        <v>4170.5600000000004</v>
      </c>
      <c r="G9" s="7">
        <v>11956995.52</v>
      </c>
    </row>
    <row r="10" spans="1:7" x14ac:dyDescent="0.2">
      <c r="A10" s="14" t="s">
        <v>21</v>
      </c>
      <c r="B10" s="15">
        <v>4126</v>
      </c>
      <c r="C10" s="15">
        <v>1272</v>
      </c>
      <c r="D10" s="15">
        <v>2854</v>
      </c>
      <c r="E10" s="16">
        <v>30.83</v>
      </c>
      <c r="F10" s="17">
        <v>4170.5600000000004</v>
      </c>
      <c r="G10" s="17">
        <v>11902778.24</v>
      </c>
    </row>
    <row r="11" spans="1:7" x14ac:dyDescent="0.2">
      <c r="A11" s="14" t="s">
        <v>22</v>
      </c>
      <c r="B11" s="15">
        <v>4130</v>
      </c>
      <c r="C11" s="15">
        <v>1295</v>
      </c>
      <c r="D11" s="15">
        <v>2835</v>
      </c>
      <c r="E11" s="16">
        <v>31.36</v>
      </c>
      <c r="F11" s="17">
        <v>4170.5600000000004</v>
      </c>
      <c r="G11" s="17">
        <v>11823537.6</v>
      </c>
    </row>
    <row r="12" spans="1:7" x14ac:dyDescent="0.2">
      <c r="A12" s="18" t="s">
        <v>68</v>
      </c>
      <c r="B12" s="19">
        <v>20825</v>
      </c>
      <c r="C12" s="19">
        <v>6280</v>
      </c>
      <c r="D12" s="19">
        <v>14545</v>
      </c>
      <c r="E12" s="20">
        <v>30.16</v>
      </c>
      <c r="F12" s="21">
        <v>4170.5600000000004</v>
      </c>
      <c r="G12" s="21">
        <v>60660795.200000003</v>
      </c>
    </row>
    <row r="13" spans="1:7" x14ac:dyDescent="0.2">
      <c r="A13" s="22" t="s">
        <v>69</v>
      </c>
      <c r="B13" s="23">
        <v>8256</v>
      </c>
      <c r="C13" s="23">
        <v>2567</v>
      </c>
      <c r="D13" s="23">
        <v>5689</v>
      </c>
      <c r="E13" s="24">
        <v>31.1</v>
      </c>
      <c r="F13" s="25">
        <v>4170.5600000000004</v>
      </c>
      <c r="G13" s="25">
        <v>23726315.84</v>
      </c>
    </row>
    <row r="14" spans="1:7" ht="15" x14ac:dyDescent="0.25">
      <c r="A14" s="3" t="s">
        <v>70</v>
      </c>
      <c r="B14" s="26">
        <v>29081</v>
      </c>
      <c r="C14" s="26">
        <v>8847</v>
      </c>
      <c r="D14" s="26">
        <v>20234</v>
      </c>
      <c r="E14" s="27">
        <v>30.4</v>
      </c>
      <c r="F14" s="28">
        <v>4170.5600000000004</v>
      </c>
      <c r="G14" s="28">
        <v>84387111.040000007</v>
      </c>
    </row>
    <row r="16" spans="1:7" x14ac:dyDescent="0.2">
      <c r="A16" s="29" t="s">
        <v>71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5"/>
  <sheetViews>
    <sheetView tabSelected="1" workbookViewId="0">
      <selection activeCell="AB42" sqref="AB42"/>
    </sheetView>
  </sheetViews>
  <sheetFormatPr defaultRowHeight="14.25" x14ac:dyDescent="0.2"/>
  <cols>
    <col min="1" max="1" width="26" customWidth="1"/>
    <col min="2" max="7" width="20" customWidth="1"/>
  </cols>
  <sheetData>
    <row r="1" spans="1:7" ht="18" x14ac:dyDescent="0.25">
      <c r="A1" s="1" t="s">
        <v>72</v>
      </c>
    </row>
    <row r="2" spans="1:7" x14ac:dyDescent="0.2">
      <c r="A2" s="2" t="s">
        <v>73</v>
      </c>
    </row>
    <row r="3" spans="1:7" x14ac:dyDescent="0.2">
      <c r="A3" s="29" t="s">
        <v>74</v>
      </c>
    </row>
    <row r="5" spans="1:7" ht="15" x14ac:dyDescent="0.25">
      <c r="A5" s="3" t="s">
        <v>38</v>
      </c>
      <c r="B5" s="3" t="s">
        <v>39</v>
      </c>
      <c r="C5" s="3" t="s">
        <v>40</v>
      </c>
      <c r="D5" s="3" t="s">
        <v>41</v>
      </c>
      <c r="E5" s="3" t="s">
        <v>75</v>
      </c>
      <c r="F5" s="3" t="s">
        <v>76</v>
      </c>
      <c r="G5" s="3" t="s">
        <v>67</v>
      </c>
    </row>
    <row r="6" spans="1:7" x14ac:dyDescent="0.2">
      <c r="A6" s="6" t="s">
        <v>77</v>
      </c>
      <c r="B6" s="10">
        <v>1181</v>
      </c>
      <c r="C6" s="10">
        <v>51</v>
      </c>
      <c r="D6" s="10">
        <v>68</v>
      </c>
      <c r="E6" s="10">
        <v>119</v>
      </c>
      <c r="F6" s="7">
        <v>11677.57</v>
      </c>
      <c r="G6" s="7">
        <v>1389630.83</v>
      </c>
    </row>
    <row r="7" spans="1:7" x14ac:dyDescent="0.2">
      <c r="A7" s="4" t="s">
        <v>78</v>
      </c>
      <c r="B7" s="12">
        <v>4537</v>
      </c>
      <c r="C7" s="12">
        <v>651</v>
      </c>
      <c r="D7" s="12">
        <v>230</v>
      </c>
      <c r="E7" s="12">
        <v>881</v>
      </c>
      <c r="F7" s="5">
        <v>11677.57</v>
      </c>
      <c r="G7" s="5">
        <v>10287937.17</v>
      </c>
    </row>
    <row r="8" spans="1:7" x14ac:dyDescent="0.2">
      <c r="A8" s="6" t="s">
        <v>79</v>
      </c>
      <c r="B8" s="10">
        <v>4282</v>
      </c>
      <c r="C8" s="10">
        <v>757</v>
      </c>
      <c r="D8" s="10">
        <v>206</v>
      </c>
      <c r="E8" s="10">
        <v>963</v>
      </c>
      <c r="F8" s="7">
        <v>11677.57</v>
      </c>
      <c r="G8" s="7">
        <v>11245439.91</v>
      </c>
    </row>
    <row r="9" spans="1:7" ht="15" x14ac:dyDescent="0.25">
      <c r="A9" s="3" t="s">
        <v>70</v>
      </c>
      <c r="B9" s="26">
        <v>10000</v>
      </c>
      <c r="C9" s="26">
        <v>1459</v>
      </c>
      <c r="D9" s="26">
        <v>504</v>
      </c>
      <c r="E9" s="26">
        <v>1963</v>
      </c>
      <c r="F9" s="28">
        <v>11677.57</v>
      </c>
      <c r="G9" s="28">
        <v>22923007.91</v>
      </c>
    </row>
    <row r="11" spans="1:7" ht="15.75" x14ac:dyDescent="0.25">
      <c r="A11" s="8" t="s">
        <v>80</v>
      </c>
    </row>
    <row r="12" spans="1:7" ht="15" x14ac:dyDescent="0.25">
      <c r="A12" s="3" t="s">
        <v>38</v>
      </c>
      <c r="B12" s="3" t="s">
        <v>42</v>
      </c>
      <c r="C12" s="3" t="s">
        <v>43</v>
      </c>
      <c r="D12" s="3" t="s">
        <v>81</v>
      </c>
    </row>
    <row r="13" spans="1:7" x14ac:dyDescent="0.2">
      <c r="A13" s="6" t="s">
        <v>44</v>
      </c>
      <c r="B13" s="11">
        <v>4.32</v>
      </c>
      <c r="C13" s="11">
        <v>5.76</v>
      </c>
      <c r="D13" s="11">
        <v>10.08</v>
      </c>
    </row>
    <row r="14" spans="1:7" x14ac:dyDescent="0.2">
      <c r="A14" s="4" t="s">
        <v>45</v>
      </c>
      <c r="B14" s="13">
        <v>14.35</v>
      </c>
      <c r="C14" s="13">
        <v>5.07</v>
      </c>
      <c r="D14" s="13">
        <v>19.420000000000002</v>
      </c>
    </row>
    <row r="15" spans="1:7" x14ac:dyDescent="0.2">
      <c r="A15" s="6" t="s">
        <v>46</v>
      </c>
      <c r="B15" s="11">
        <v>17.68</v>
      </c>
      <c r="C15" s="11">
        <v>4.8099999999999996</v>
      </c>
      <c r="D15" s="11">
        <v>22.49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H1</vt:lpstr>
      <vt:lpstr>H2</vt:lpstr>
      <vt:lpstr>H3</vt:lpstr>
      <vt:lpstr>H4</vt:lpstr>
      <vt:lpstr>H5</vt:lpstr>
      <vt:lpstr>RL_H2</vt:lpstr>
      <vt:lpstr>RL_H4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Tanawan Manamongkon</cp:lastModifiedBy>
  <dcterms:created xsi:type="dcterms:W3CDTF">2026-04-25T14:26:04Z</dcterms:created>
  <dcterms:modified xsi:type="dcterms:W3CDTF">2026-04-27T16:40:34Z</dcterms:modified>
</cp:coreProperties>
</file>